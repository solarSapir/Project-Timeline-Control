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anj\Downloads\"/>
    </mc:Choice>
  </mc:AlternateContent>
  <xr:revisionPtr revIDLastSave="0" documentId="8_{A80BEAFA-216B-40A1-BA86-EB7728B06440}" xr6:coauthVersionLast="47" xr6:coauthVersionMax="47" xr10:uidLastSave="{00000000-0000-0000-0000-000000000000}"/>
  <bookViews>
    <workbookView xWindow="-41820" yWindow="15600" windowWidth="19420" windowHeight="12220" xr2:uid="{9F1C5AA9-9562-43A9-AF45-6282B428F10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1" l="1"/>
  <c r="F33" i="1"/>
  <c r="E23" i="1"/>
  <c r="F23" i="1" s="1"/>
  <c r="F28" i="1"/>
  <c r="F32" i="1"/>
  <c r="B27" i="1"/>
  <c r="F31" i="1" s="1"/>
  <c r="F36" i="1" l="1"/>
  <c r="F37" i="1" s="1"/>
  <c r="F39" i="1" s="1"/>
</calcChain>
</file>

<file path=xl/sharedStrings.xml><?xml version="1.0" encoding="utf-8"?>
<sst xmlns="http://schemas.openxmlformats.org/spreadsheetml/2006/main" count="41" uniqueCount="41">
  <si>
    <t>Solar Power Store Canada LTD</t>
  </si>
  <si>
    <t>526 Bryne Dr</t>
  </si>
  <si>
    <t>GST/HST Registration:</t>
  </si>
  <si>
    <t>Unit C</t>
  </si>
  <si>
    <t xml:space="preserve">772144143RT0001 </t>
  </si>
  <si>
    <t>Barrie, ON L4N 9P6</t>
  </si>
  <si>
    <t>Phone: 1-888-421-5354</t>
  </si>
  <si>
    <t>Email: accounting@solarpowerstore.ca</t>
  </si>
  <si>
    <t>Service Address</t>
  </si>
  <si>
    <r>
      <rPr>
        <sz val="11"/>
        <color rgb="FF000000"/>
        <rFont val="Aptos Narrow"/>
        <family val="2"/>
        <scheme val="minor"/>
      </rPr>
      <t xml:space="preserve">Installtion Date: </t>
    </r>
    <r>
      <rPr>
        <b/>
        <sz val="11"/>
        <color rgb="FF000000"/>
        <rFont val="Aptos Narrow"/>
        <family val="2"/>
        <scheme val="minor"/>
      </rPr>
      <t>TBD</t>
    </r>
  </si>
  <si>
    <t>Description</t>
  </si>
  <si>
    <t>QTY</t>
  </si>
  <si>
    <t>Rate</t>
  </si>
  <si>
    <t>Amount</t>
  </si>
  <si>
    <t>Material Costs</t>
  </si>
  <si>
    <t xml:space="preserve">Solar Panel Make: </t>
  </si>
  <si>
    <t>MAPLE LEAF</t>
  </si>
  <si>
    <t xml:space="preserve">Solar Panel Model: </t>
  </si>
  <si>
    <t xml:space="preserve">Solar Panel Size (watt) </t>
  </si>
  <si>
    <t>Qty of solar panels(units)</t>
  </si>
  <si>
    <t>Total Kw DC (watt)</t>
  </si>
  <si>
    <t>Battery Make:</t>
  </si>
  <si>
    <t>FOX ESS</t>
  </si>
  <si>
    <t>Battery Model:</t>
  </si>
  <si>
    <t>ECS4000-H4</t>
  </si>
  <si>
    <t>Battery size (Kwh):</t>
  </si>
  <si>
    <t>Labour cost</t>
  </si>
  <si>
    <t>PV PORTION</t>
  </si>
  <si>
    <t>BATTERY PORTION</t>
  </si>
  <si>
    <t>Other cost</t>
  </si>
  <si>
    <t xml:space="preserve">Electrical engineering </t>
  </si>
  <si>
    <t>Utility application, connection costs</t>
  </si>
  <si>
    <t>Subtotal</t>
  </si>
  <si>
    <t>HST (ON) 13%</t>
  </si>
  <si>
    <t>Total</t>
  </si>
  <si>
    <t>Total (PV ONLY) Pre tax</t>
  </si>
  <si>
    <t>12Kwh</t>
  </si>
  <si>
    <t>TS-BGT72(580)</t>
  </si>
  <si>
    <r>
      <t xml:space="preserve">QUOTE: </t>
    </r>
    <r>
      <rPr>
        <b/>
        <sz val="11"/>
        <color rgb="FF000000"/>
        <rFont val="Aptos Narrow"/>
        <family val="2"/>
      </rPr>
      <t>#25254</t>
    </r>
  </si>
  <si>
    <t>Quote Date</t>
  </si>
  <si>
    <t>Cody McGowan
4096 South Island Highway
Campbell River BC V9H 1B5
Canada
+1 778-928-7047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</si>
</sst>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7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" xfId="0" applyBorder="1"/>
    <xf numFmtId="0" fontId="0" fillId="2" borderId="13" xfId="0" applyFill="1" applyBorder="1"/>
    <xf numFmtId="0" fontId="0" fillId="2" borderId="8" xfId="0" applyFill="1" applyBorder="1" applyAlignment="1">
      <alignment horizontal="left" indent="1"/>
    </xf>
    <xf numFmtId="0" fontId="0" fillId="2" borderId="10" xfId="0" applyFill="1" applyBorder="1" applyAlignment="1">
      <alignment horizontal="left" indent="1"/>
    </xf>
    <xf numFmtId="0" fontId="0" fillId="2" borderId="13" xfId="0" applyFill="1" applyBorder="1" applyAlignment="1">
      <alignment horizontal="center"/>
    </xf>
    <xf numFmtId="0" fontId="0" fillId="2" borderId="0" xfId="0" applyFill="1" applyAlignment="1">
      <alignment horizontal="left" indent="1"/>
    </xf>
    <xf numFmtId="0" fontId="0" fillId="2" borderId="5" xfId="0" applyFill="1" applyBorder="1"/>
    <xf numFmtId="44" fontId="0" fillId="2" borderId="7" xfId="0" applyNumberFormat="1" applyFill="1" applyBorder="1"/>
    <xf numFmtId="44" fontId="0" fillId="2" borderId="9" xfId="0" applyNumberFormat="1" applyFill="1" applyBorder="1"/>
    <xf numFmtId="0" fontId="2" fillId="2" borderId="0" xfId="0" applyFont="1" applyFill="1" applyAlignment="1">
      <alignment vertical="center"/>
    </xf>
    <xf numFmtId="0" fontId="0" fillId="2" borderId="11" xfId="0" applyFill="1" applyBorder="1"/>
    <xf numFmtId="0" fontId="2" fillId="2" borderId="5" xfId="0" applyFont="1" applyFill="1" applyBorder="1"/>
    <xf numFmtId="0" fontId="2" fillId="2" borderId="6" xfId="0" applyFont="1" applyFill="1" applyBorder="1"/>
    <xf numFmtId="44" fontId="0" fillId="2" borderId="2" xfId="2" applyFont="1" applyFill="1" applyBorder="1" applyAlignment="1">
      <alignment vertical="center"/>
    </xf>
    <xf numFmtId="165" fontId="0" fillId="2" borderId="2" xfId="1" applyNumberFormat="1" applyFont="1" applyFill="1" applyBorder="1" applyAlignment="1">
      <alignment vertical="center"/>
    </xf>
    <xf numFmtId="0" fontId="0" fillId="2" borderId="18" xfId="0" applyFill="1" applyBorder="1" applyAlignment="1">
      <alignment horizontal="left" indent="1"/>
    </xf>
    <xf numFmtId="0" fontId="0" fillId="2" borderId="23" xfId="0" applyFill="1" applyBorder="1" applyAlignment="1">
      <alignment horizontal="left" indent="1"/>
    </xf>
    <xf numFmtId="0" fontId="0" fillId="2" borderId="25" xfId="0" applyFill="1" applyBorder="1" applyAlignment="1">
      <alignment horizontal="left" indent="1"/>
    </xf>
    <xf numFmtId="0" fontId="0" fillId="2" borderId="28" xfId="0" applyFill="1" applyBorder="1" applyAlignment="1">
      <alignment horizontal="left" indent="1"/>
    </xf>
    <xf numFmtId="0" fontId="0" fillId="2" borderId="31" xfId="0" applyFill="1" applyBorder="1" applyAlignment="1">
      <alignment horizontal="left" indent="1"/>
    </xf>
    <xf numFmtId="0" fontId="0" fillId="2" borderId="32" xfId="0" applyFill="1" applyBorder="1" applyAlignment="1">
      <alignment horizontal="left" indent="1"/>
    </xf>
    <xf numFmtId="0" fontId="0" fillId="2" borderId="14" xfId="0" applyFill="1" applyBorder="1"/>
    <xf numFmtId="0" fontId="0" fillId="2" borderId="14" xfId="0" applyFill="1" applyBorder="1" applyAlignment="1">
      <alignment horizontal="left" indent="1"/>
    </xf>
    <xf numFmtId="0" fontId="0" fillId="2" borderId="33" xfId="0" applyFill="1" applyBorder="1" applyAlignment="1">
      <alignment horizontal="left" indent="1"/>
    </xf>
    <xf numFmtId="0" fontId="0" fillId="2" borderId="35" xfId="0" applyFill="1" applyBorder="1" applyAlignment="1">
      <alignment horizontal="left" indent="1"/>
    </xf>
    <xf numFmtId="0" fontId="0" fillId="0" borderId="37" xfId="0" applyBorder="1"/>
    <xf numFmtId="0" fontId="2" fillId="2" borderId="38" xfId="0" applyFont="1" applyFill="1" applyBorder="1"/>
    <xf numFmtId="165" fontId="0" fillId="2" borderId="38" xfId="1" applyNumberFormat="1" applyFont="1" applyFill="1" applyBorder="1" applyAlignment="1">
      <alignment vertical="center"/>
    </xf>
    <xf numFmtId="44" fontId="0" fillId="2" borderId="38" xfId="2" applyFont="1" applyFill="1" applyBorder="1"/>
    <xf numFmtId="44" fontId="0" fillId="2" borderId="39" xfId="2" applyFont="1" applyFill="1" applyBorder="1" applyAlignment="1">
      <alignment vertical="center"/>
    </xf>
    <xf numFmtId="0" fontId="0" fillId="0" borderId="42" xfId="0" applyBorder="1"/>
    <xf numFmtId="0" fontId="2" fillId="2" borderId="36" xfId="0" applyFont="1" applyFill="1" applyBorder="1"/>
    <xf numFmtId="165" fontId="0" fillId="2" borderId="36" xfId="1" applyNumberFormat="1" applyFont="1" applyFill="1" applyBorder="1" applyAlignment="1">
      <alignment vertical="center"/>
    </xf>
    <xf numFmtId="44" fontId="0" fillId="2" borderId="36" xfId="2" applyFont="1" applyFill="1" applyBorder="1"/>
    <xf numFmtId="44" fontId="0" fillId="2" borderId="43" xfId="2" applyFont="1" applyFill="1" applyBorder="1" applyAlignment="1">
      <alignment vertical="center"/>
    </xf>
    <xf numFmtId="0" fontId="4" fillId="2" borderId="6" xfId="0" applyFont="1" applyFill="1" applyBorder="1"/>
    <xf numFmtId="14" fontId="2" fillId="2" borderId="1" xfId="0" applyNumberFormat="1" applyFont="1" applyFill="1" applyBorder="1"/>
    <xf numFmtId="0" fontId="6" fillId="2" borderId="1" xfId="0" applyFont="1" applyFill="1" applyBorder="1"/>
    <xf numFmtId="164" fontId="0" fillId="2" borderId="0" xfId="0" applyNumberFormat="1" applyFill="1"/>
    <xf numFmtId="44" fontId="0" fillId="2" borderId="49" xfId="0" applyNumberFormat="1" applyFill="1" applyBorder="1"/>
    <xf numFmtId="0" fontId="0" fillId="2" borderId="50" xfId="0" applyFill="1" applyBorder="1"/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164" fontId="0" fillId="2" borderId="53" xfId="0" applyNumberFormat="1" applyFill="1" applyBorder="1"/>
    <xf numFmtId="0" fontId="0" fillId="2" borderId="51" xfId="0" applyFill="1" applyBorder="1" applyAlignment="1">
      <alignment horizontal="center"/>
    </xf>
    <xf numFmtId="0" fontId="0" fillId="2" borderId="52" xfId="0" applyFill="1" applyBorder="1" applyAlignment="1">
      <alignment horizontal="center"/>
    </xf>
    <xf numFmtId="44" fontId="0" fillId="2" borderId="3" xfId="2" applyFont="1" applyFill="1" applyBorder="1" applyAlignment="1">
      <alignment horizontal="center" vertical="center"/>
    </xf>
    <xf numFmtId="44" fontId="0" fillId="2" borderId="4" xfId="2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44" fontId="0" fillId="2" borderId="22" xfId="2" applyFont="1" applyFill="1" applyBorder="1" applyAlignment="1">
      <alignment horizontal="center" vertical="center"/>
    </xf>
    <xf numFmtId="44" fontId="0" fillId="2" borderId="24" xfId="2" applyFont="1" applyFill="1" applyBorder="1" applyAlignment="1">
      <alignment horizontal="center" vertical="center"/>
    </xf>
    <xf numFmtId="44" fontId="0" fillId="2" borderId="47" xfId="2" applyFont="1" applyFill="1" applyBorder="1" applyAlignment="1">
      <alignment horizontal="center" vertical="center"/>
    </xf>
    <xf numFmtId="44" fontId="0" fillId="2" borderId="48" xfId="2" applyFont="1" applyFill="1" applyBorder="1" applyAlignment="1">
      <alignment horizontal="center" vertical="center"/>
    </xf>
    <xf numFmtId="44" fontId="0" fillId="2" borderId="44" xfId="2" applyFont="1" applyFill="1" applyBorder="1" applyAlignment="1">
      <alignment horizontal="center" vertical="center"/>
    </xf>
    <xf numFmtId="44" fontId="0" fillId="2" borderId="45" xfId="2" applyFont="1" applyFill="1" applyBorder="1" applyAlignment="1">
      <alignment horizontal="center" vertical="center"/>
    </xf>
    <xf numFmtId="44" fontId="0" fillId="2" borderId="46" xfId="2" applyFont="1" applyFill="1" applyBorder="1" applyAlignment="1">
      <alignment horizontal="center" vertical="center"/>
    </xf>
    <xf numFmtId="165" fontId="0" fillId="2" borderId="34" xfId="1" applyNumberFormat="1" applyFont="1" applyFill="1" applyBorder="1" applyAlignment="1">
      <alignment horizontal="center" vertical="center"/>
    </xf>
    <xf numFmtId="165" fontId="0" fillId="2" borderId="0" xfId="1" applyNumberFormat="1" applyFont="1" applyFill="1" applyBorder="1" applyAlignment="1">
      <alignment horizontal="center" vertical="center"/>
    </xf>
    <xf numFmtId="0" fontId="0" fillId="2" borderId="40" xfId="0" applyFill="1" applyBorder="1" applyAlignment="1">
      <alignment horizontal="left" vertical="center"/>
    </xf>
    <xf numFmtId="0" fontId="0" fillId="2" borderId="41" xfId="0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65" fontId="0" fillId="2" borderId="3" xfId="1" applyNumberFormat="1" applyFont="1" applyFill="1" applyBorder="1" applyAlignment="1">
      <alignment horizontal="center" vertical="center"/>
    </xf>
    <xf numFmtId="165" fontId="0" fillId="2" borderId="4" xfId="1" applyNumberFormat="1" applyFont="1" applyFill="1" applyBorder="1" applyAlignment="1">
      <alignment horizontal="center" vertical="center"/>
    </xf>
    <xf numFmtId="165" fontId="0" fillId="2" borderId="21" xfId="1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-57150</xdr:rowOff>
    </xdr:from>
    <xdr:to>
      <xdr:col>0</xdr:col>
      <xdr:colOff>130175</xdr:colOff>
      <xdr:row>0</xdr:row>
      <xdr:rowOff>-57150</xdr:rowOff>
    </xdr:to>
    <xdr:pic>
      <xdr:nvPicPr>
        <xdr:cNvPr id="2" name="Picture 1" descr="Solar Power Store Canada Ltd - Solar Alberta">
          <a:extLst>
            <a:ext uri="{FF2B5EF4-FFF2-40B4-BE49-F238E27FC236}">
              <a16:creationId xmlns:a16="http://schemas.microsoft.com/office/drawing/2014/main" id="{74AF947E-331F-B4E6-9220-4C5D74460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-571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6</xdr:row>
      <xdr:rowOff>66675</xdr:rowOff>
    </xdr:from>
    <xdr:to>
      <xdr:col>5</xdr:col>
      <xdr:colOff>568325</xdr:colOff>
      <xdr:row>17</xdr:row>
      <xdr:rowOff>53975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32570C-58E0-971C-6542-463532A0DA3B}"/>
            </a:ext>
            <a:ext uri="{147F2762-F138-4A5C-976F-8EAC2B608ADB}">
              <a16:predDERef xmlns:a16="http://schemas.microsoft.com/office/drawing/2014/main" pred="{74AF947E-331F-B4E6-9220-4C5D74460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90925" y="1162050"/>
          <a:ext cx="2000250" cy="2000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8C703-FBF8-453B-AD1A-07E106C901EB}">
  <sheetPr>
    <pageSetUpPr fitToPage="1"/>
  </sheetPr>
  <dimension ref="A1:Q40"/>
  <sheetViews>
    <sheetView tabSelected="1" topLeftCell="A4" zoomScale="70" zoomScaleNormal="70" workbookViewId="0">
      <selection activeCell="G10" sqref="G10"/>
    </sheetView>
  </sheetViews>
  <sheetFormatPr defaultColWidth="8.7265625" defaultRowHeight="14.5" x14ac:dyDescent="0.35"/>
  <cols>
    <col min="1" max="1" width="34.7265625" style="1" customWidth="1"/>
    <col min="2" max="2" width="17.453125" style="1" bestFit="1" customWidth="1"/>
    <col min="3" max="3" width="4.453125" style="1" customWidth="1"/>
    <col min="4" max="4" width="4.1796875" style="1" customWidth="1"/>
    <col min="5" max="5" width="14.7265625" style="1" bestFit="1" customWidth="1"/>
    <col min="6" max="6" width="12.81640625" style="1" bestFit="1" customWidth="1"/>
    <col min="7" max="7" width="30.1796875" style="1" customWidth="1"/>
    <col min="8" max="9" width="8.7265625" style="1"/>
    <col min="10" max="10" width="12.7265625" style="1" bestFit="1" customWidth="1"/>
    <col min="11" max="17" width="8.7265625" style="1"/>
  </cols>
  <sheetData>
    <row r="1" spans="1:6" x14ac:dyDescent="0.35">
      <c r="A1" s="20" t="s">
        <v>0</v>
      </c>
      <c r="B1" s="21"/>
      <c r="C1" s="44" t="s">
        <v>38</v>
      </c>
      <c r="D1" s="4"/>
      <c r="E1" s="4"/>
      <c r="F1" s="5"/>
    </row>
    <row r="2" spans="1:6" x14ac:dyDescent="0.35">
      <c r="A2" s="6" t="s">
        <v>1</v>
      </c>
      <c r="C2" s="1" t="s">
        <v>2</v>
      </c>
      <c r="F2" s="7"/>
    </row>
    <row r="3" spans="1:6" x14ac:dyDescent="0.35">
      <c r="A3" s="6" t="s">
        <v>3</v>
      </c>
      <c r="C3" s="1" t="s">
        <v>4</v>
      </c>
      <c r="F3" s="7"/>
    </row>
    <row r="4" spans="1:6" x14ac:dyDescent="0.35">
      <c r="A4" s="6" t="s">
        <v>5</v>
      </c>
      <c r="F4" s="7"/>
    </row>
    <row r="5" spans="1:6" x14ac:dyDescent="0.35">
      <c r="A5" s="6" t="s">
        <v>6</v>
      </c>
      <c r="F5" s="7"/>
    </row>
    <row r="6" spans="1:6" x14ac:dyDescent="0.35">
      <c r="A6" s="6" t="s">
        <v>7</v>
      </c>
      <c r="F6" s="7"/>
    </row>
    <row r="7" spans="1:6" x14ac:dyDescent="0.35">
      <c r="A7" s="6"/>
      <c r="F7" s="7"/>
    </row>
    <row r="8" spans="1:6" x14ac:dyDescent="0.35">
      <c r="A8" s="6"/>
      <c r="F8" s="7"/>
    </row>
    <row r="9" spans="1:6" x14ac:dyDescent="0.35">
      <c r="A9" s="6"/>
      <c r="F9" s="7"/>
    </row>
    <row r="10" spans="1:6" x14ac:dyDescent="0.35">
      <c r="A10" s="6"/>
      <c r="F10" s="7"/>
    </row>
    <row r="11" spans="1:6" ht="11.25" customHeight="1" x14ac:dyDescent="0.35">
      <c r="A11" s="3" t="s">
        <v>8</v>
      </c>
      <c r="B11" s="2" t="s">
        <v>39</v>
      </c>
      <c r="F11" s="7"/>
    </row>
    <row r="12" spans="1:6" ht="18.75" customHeight="1" x14ac:dyDescent="0.35">
      <c r="A12" s="89" t="s">
        <v>40</v>
      </c>
      <c r="B12" s="45">
        <v>46072</v>
      </c>
      <c r="F12" s="7"/>
    </row>
    <row r="13" spans="1:6" ht="14.5" customHeight="1" x14ac:dyDescent="0.35">
      <c r="A13" s="90"/>
      <c r="C13" s="18"/>
      <c r="F13" s="7"/>
    </row>
    <row r="14" spans="1:6" ht="14.5" customHeight="1" x14ac:dyDescent="0.35">
      <c r="A14" s="90"/>
      <c r="B14" s="18"/>
      <c r="C14" s="18"/>
      <c r="F14" s="7"/>
    </row>
    <row r="15" spans="1:6" ht="14.5" customHeight="1" x14ac:dyDescent="0.35">
      <c r="A15" s="90"/>
      <c r="B15" s="18"/>
      <c r="C15" s="18"/>
      <c r="F15" s="7"/>
    </row>
    <row r="16" spans="1:6" ht="14.5" customHeight="1" x14ac:dyDescent="0.35">
      <c r="A16" s="91"/>
      <c r="B16" s="18"/>
      <c r="C16" s="18"/>
      <c r="F16" s="7"/>
    </row>
    <row r="17" spans="1:14" x14ac:dyDescent="0.35">
      <c r="A17" s="6"/>
      <c r="F17" s="7"/>
    </row>
    <row r="18" spans="1:14" x14ac:dyDescent="0.35">
      <c r="A18" s="6"/>
      <c r="F18" s="7"/>
    </row>
    <row r="19" spans="1:14" x14ac:dyDescent="0.35">
      <c r="A19" s="46" t="s">
        <v>9</v>
      </c>
      <c r="F19" s="7"/>
    </row>
    <row r="20" spans="1:14" x14ac:dyDescent="0.35">
      <c r="A20" s="6"/>
      <c r="F20" s="7"/>
      <c r="N20" s="14"/>
    </row>
    <row r="21" spans="1:14" x14ac:dyDescent="0.35">
      <c r="A21" s="62" t="s">
        <v>10</v>
      </c>
      <c r="B21" s="63"/>
      <c r="C21" s="13"/>
      <c r="D21" s="9" t="s">
        <v>11</v>
      </c>
      <c r="E21" s="2" t="s">
        <v>12</v>
      </c>
      <c r="F21" s="10" t="s">
        <v>13</v>
      </c>
      <c r="N21" s="14"/>
    </row>
    <row r="22" spans="1:14" ht="14.5" customHeight="1" x14ac:dyDescent="0.35">
      <c r="A22" s="68" t="s">
        <v>14</v>
      </c>
      <c r="B22" s="69"/>
      <c r="C22" s="70"/>
      <c r="D22" s="23"/>
      <c r="E22" s="22"/>
      <c r="F22" s="22"/>
      <c r="N22" s="14"/>
    </row>
    <row r="23" spans="1:14" ht="14.5" customHeight="1" x14ac:dyDescent="0.35">
      <c r="A23" s="27" t="s">
        <v>15</v>
      </c>
      <c r="B23" s="66" t="s">
        <v>16</v>
      </c>
      <c r="C23" s="67"/>
      <c r="D23" s="78">
        <v>1</v>
      </c>
      <c r="E23" s="75">
        <f>34993.86-E28</f>
        <v>24354.89</v>
      </c>
      <c r="F23" s="73">
        <f>E23*D23</f>
        <v>24354.89</v>
      </c>
      <c r="N23" s="14"/>
    </row>
    <row r="24" spans="1:14" ht="14.5" customHeight="1" x14ac:dyDescent="0.35">
      <c r="A24" s="25" t="s">
        <v>17</v>
      </c>
      <c r="B24" s="64" t="s">
        <v>37</v>
      </c>
      <c r="C24" s="65"/>
      <c r="D24" s="79"/>
      <c r="E24" s="76"/>
      <c r="F24" s="74"/>
      <c r="N24" s="14"/>
    </row>
    <row r="25" spans="1:14" ht="14.5" customHeight="1" x14ac:dyDescent="0.35">
      <c r="A25" s="28" t="s">
        <v>18</v>
      </c>
      <c r="B25" s="64">
        <v>580</v>
      </c>
      <c r="C25" s="65"/>
      <c r="D25" s="79"/>
      <c r="E25" s="76"/>
      <c r="F25" s="74"/>
      <c r="N25" s="14"/>
    </row>
    <row r="26" spans="1:14" ht="14.5" customHeight="1" x14ac:dyDescent="0.35">
      <c r="A26" s="29" t="s">
        <v>19</v>
      </c>
      <c r="B26" s="92">
        <v>31</v>
      </c>
      <c r="C26" s="93"/>
      <c r="D26" s="79"/>
      <c r="E26" s="76"/>
      <c r="F26" s="74"/>
      <c r="N26" s="14"/>
    </row>
    <row r="27" spans="1:14" ht="14.5" customHeight="1" x14ac:dyDescent="0.35">
      <c r="A27" s="33" t="s">
        <v>20</v>
      </c>
      <c r="B27" s="94">
        <f>B26*B25</f>
        <v>17980</v>
      </c>
      <c r="C27" s="94"/>
      <c r="D27" s="79"/>
      <c r="E27" s="77"/>
      <c r="F27" s="74"/>
      <c r="J27" s="47"/>
      <c r="N27" s="14"/>
    </row>
    <row r="28" spans="1:14" ht="14.5" customHeight="1" x14ac:dyDescent="0.35">
      <c r="A28" s="24" t="s">
        <v>21</v>
      </c>
      <c r="B28" s="95" t="s">
        <v>22</v>
      </c>
      <c r="C28" s="96"/>
      <c r="D28" s="88">
        <v>1</v>
      </c>
      <c r="E28" s="60">
        <v>10638.97</v>
      </c>
      <c r="F28" s="71">
        <f>E28*D28</f>
        <v>10638.97</v>
      </c>
    </row>
    <row r="29" spans="1:14" ht="14.5" customHeight="1" x14ac:dyDescent="0.35">
      <c r="A29" s="25" t="s">
        <v>23</v>
      </c>
      <c r="B29" s="82" t="s">
        <v>24</v>
      </c>
      <c r="C29" s="83"/>
      <c r="D29" s="86"/>
      <c r="E29" s="60"/>
      <c r="F29" s="72"/>
    </row>
    <row r="30" spans="1:14" ht="14.5" customHeight="1" x14ac:dyDescent="0.35">
      <c r="A30" s="26" t="s">
        <v>25</v>
      </c>
      <c r="B30" s="84" t="s">
        <v>36</v>
      </c>
      <c r="C30" s="85"/>
      <c r="D30" s="86"/>
      <c r="E30" s="60"/>
      <c r="F30" s="72"/>
    </row>
    <row r="31" spans="1:14" x14ac:dyDescent="0.35">
      <c r="A31" s="80" t="s">
        <v>26</v>
      </c>
      <c r="B31" s="39" t="s">
        <v>27</v>
      </c>
      <c r="C31" s="40"/>
      <c r="D31" s="41">
        <v>1</v>
      </c>
      <c r="E31" s="42"/>
      <c r="F31" s="43">
        <f>E31*D31</f>
        <v>0</v>
      </c>
      <c r="J31" s="47"/>
    </row>
    <row r="32" spans="1:14" x14ac:dyDescent="0.35">
      <c r="A32" s="81"/>
      <c r="B32" s="34" t="s">
        <v>28</v>
      </c>
      <c r="C32" s="35"/>
      <c r="D32" s="36">
        <v>1</v>
      </c>
      <c r="E32" s="37"/>
      <c r="F32" s="38">
        <f>E32*D32</f>
        <v>0</v>
      </c>
    </row>
    <row r="33" spans="1:6" x14ac:dyDescent="0.35">
      <c r="A33" s="6" t="s">
        <v>29</v>
      </c>
      <c r="C33" s="30"/>
      <c r="D33" s="86">
        <v>1</v>
      </c>
      <c r="E33" s="60">
        <v>1000</v>
      </c>
      <c r="F33" s="60">
        <f>E33</f>
        <v>1000</v>
      </c>
    </row>
    <row r="34" spans="1:6" x14ac:dyDescent="0.35">
      <c r="A34" s="11" t="s">
        <v>30</v>
      </c>
      <c r="C34" s="31"/>
      <c r="D34" s="86"/>
      <c r="E34" s="60"/>
      <c r="F34" s="60"/>
    </row>
    <row r="35" spans="1:6" x14ac:dyDescent="0.35">
      <c r="A35" s="12" t="s">
        <v>31</v>
      </c>
      <c r="B35" s="19"/>
      <c r="C35" s="32"/>
      <c r="D35" s="87"/>
      <c r="E35" s="61"/>
      <c r="F35" s="61"/>
    </row>
    <row r="36" spans="1:6" ht="14.5" customHeight="1" x14ac:dyDescent="0.35">
      <c r="A36" s="50"/>
      <c r="B36" s="51"/>
      <c r="C36" s="51"/>
      <c r="D36" s="52"/>
      <c r="E36" s="15" t="s">
        <v>32</v>
      </c>
      <c r="F36" s="16">
        <f>SUM(F22:F35)</f>
        <v>35993.86</v>
      </c>
    </row>
    <row r="37" spans="1:6" ht="14.5" customHeight="1" x14ac:dyDescent="0.35">
      <c r="A37" s="53"/>
      <c r="B37" s="54"/>
      <c r="C37" s="54"/>
      <c r="D37" s="55"/>
      <c r="E37" s="6" t="s">
        <v>33</v>
      </c>
      <c r="F37" s="48">
        <f>F36*0.13</f>
        <v>4679.2017999999998</v>
      </c>
    </row>
    <row r="38" spans="1:6" ht="14.5" customHeight="1" x14ac:dyDescent="0.35">
      <c r="A38" s="53"/>
      <c r="B38" s="54"/>
      <c r="C38" s="54"/>
      <c r="D38" s="55"/>
      <c r="E38" s="8"/>
      <c r="F38" s="49"/>
    </row>
    <row r="39" spans="1:6" ht="14.5" customHeight="1" x14ac:dyDescent="0.35">
      <c r="A39" s="53"/>
      <c r="B39" s="54"/>
      <c r="C39" s="54"/>
      <c r="D39" s="55"/>
      <c r="E39" s="6" t="s">
        <v>34</v>
      </c>
      <c r="F39" s="17">
        <f>F37+F36</f>
        <v>40673.061800000003</v>
      </c>
    </row>
    <row r="40" spans="1:6" ht="14.5" customHeight="1" x14ac:dyDescent="0.35">
      <c r="A40" s="56"/>
      <c r="B40" s="58" t="s">
        <v>35</v>
      </c>
      <c r="C40" s="59"/>
      <c r="D40" s="59"/>
      <c r="E40" s="59"/>
      <c r="F40" s="57">
        <f>F23+(F28*0.4)+F31+F33</f>
        <v>29610.477999999999</v>
      </c>
    </row>
  </sheetData>
  <mergeCells count="22">
    <mergeCell ref="D28:D30"/>
    <mergeCell ref="A12:A16"/>
    <mergeCell ref="B25:C25"/>
    <mergeCell ref="B26:C26"/>
    <mergeCell ref="B27:C27"/>
    <mergeCell ref="B28:C28"/>
    <mergeCell ref="B40:E40"/>
    <mergeCell ref="E33:E35"/>
    <mergeCell ref="F33:F35"/>
    <mergeCell ref="A21:B21"/>
    <mergeCell ref="B24:C24"/>
    <mergeCell ref="B23:C23"/>
    <mergeCell ref="A22:C22"/>
    <mergeCell ref="E28:E30"/>
    <mergeCell ref="F28:F30"/>
    <mergeCell ref="F23:F27"/>
    <mergeCell ref="E23:E27"/>
    <mergeCell ref="D23:D27"/>
    <mergeCell ref="A31:A32"/>
    <mergeCell ref="B29:C29"/>
    <mergeCell ref="B30:C30"/>
    <mergeCell ref="D33:D35"/>
  </mergeCells>
  <pageMargins left="0.7" right="0.7" top="0.75" bottom="0.75" header="0.3" footer="0.3"/>
  <pageSetup paperSize="165" scale="49" orientation="portrait" horizontalDpi="203" verticalDpi="203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9ccc283-16c3-4ead-b1b2-0af52c82ea9d" xsi:nil="true"/>
    <lcf76f155ced4ddcb4097134ff3c332f xmlns="c9ccc283-16c3-4ead-b1b2-0af52c82ea9d">
      <Terms xmlns="http://schemas.microsoft.com/office/infopath/2007/PartnerControls"/>
    </lcf76f155ced4ddcb4097134ff3c332f>
    <TaxCatchAll xmlns="1d95a611-cc07-483b-aefa-009b41bb926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102660614A3747A41D3D3BD8B9465C" ma:contentTypeVersion="14" ma:contentTypeDescription="Create a new document." ma:contentTypeScope="" ma:versionID="64140f8bf5af694f4abd6f47859ba0ec">
  <xsd:schema xmlns:xsd="http://www.w3.org/2001/XMLSchema" xmlns:xs="http://www.w3.org/2001/XMLSchema" xmlns:p="http://schemas.microsoft.com/office/2006/metadata/properties" xmlns:ns2="c9ccc283-16c3-4ead-b1b2-0af52c82ea9d" xmlns:ns3="1d95a611-cc07-483b-aefa-009b41bb9263" targetNamespace="http://schemas.microsoft.com/office/2006/metadata/properties" ma:root="true" ma:fieldsID="4358e3f1f5f8c08b61c3237fca3c00e7" ns2:_="" ns3:_="">
    <xsd:import namespace="c9ccc283-16c3-4ead-b1b2-0af52c82ea9d"/>
    <xsd:import namespace="1d95a611-cc07-483b-aefa-009b41bb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ccc283-16c3-4ead-b1b2-0af52c82ea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e010dd2-a01c-46f9-b034-9d0c613189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95a611-cc07-483b-aefa-009b41bb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9ec9aeb-3522-4047-a912-9e7316d4db63}" ma:internalName="TaxCatchAll" ma:showField="CatchAllData" ma:web="1d95a611-cc07-483b-aefa-009b41bb92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C0072B-9167-4CE6-BDC3-2474C753AD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54D4CC-5BF8-4535-B287-E9766840CCBA}">
  <ds:schemaRefs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1d95a611-cc07-483b-aefa-009b41bb9263"/>
    <ds:schemaRef ds:uri="c9ccc283-16c3-4ead-b1b2-0af52c82ea9d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D001D89-6555-46AD-A529-8F3B8FE8D9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ccc283-16c3-4ead-b1b2-0af52c82ea9d"/>
    <ds:schemaRef ds:uri="1d95a611-cc07-483b-aefa-009b41bb92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Sapir Sosnovsky</dc:creator>
  <cp:keywords/>
  <dc:description/>
  <cp:lastModifiedBy>Sapir Sosnovsky</cp:lastModifiedBy>
  <cp:revision/>
  <cp:lastPrinted>2026-02-19T21:45:40Z</cp:lastPrinted>
  <dcterms:created xsi:type="dcterms:W3CDTF">2025-11-24T17:54:12Z</dcterms:created>
  <dcterms:modified xsi:type="dcterms:W3CDTF">2026-02-25T01:47:25Z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0x01010056102660614A3747A41D3D3BD8B9465C</vt:lpwstr>
  </property>
  <property fmtid="{D5CDD505-2E9C-101B-9397-08002B2CF9AE}" pid="3" name="MediaServiceImageTags">
    <vt:lpwstr/>
  </property>
</Properties>
</file>